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5C6319F-CCC1-40EE-B2D2-B37BAB84A256}" xr6:coauthVersionLast="47" xr6:coauthVersionMax="47" xr10:uidLastSave="{00000000-0000-0000-0000-000000000000}"/>
  <bookViews>
    <workbookView xWindow="-120" yWindow="-120" windowWidth="29040" windowHeight="15720" xr2:uid="{841D45D3-783C-4D29-A966-0C509F43945C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F53" i="1"/>
  <c r="F32" i="1" l="1"/>
  <c r="G32" i="1" s="1"/>
  <c r="F23" i="1"/>
  <c r="G23" i="1" s="1"/>
  <c r="L23" i="1" s="1"/>
  <c r="C25" i="1"/>
  <c r="D25" i="1" s="1"/>
  <c r="D15" i="1"/>
  <c r="D16" i="1" s="1"/>
  <c r="D17" i="1" s="1"/>
  <c r="D18" i="1" s="1"/>
  <c r="D19" i="1" s="1"/>
  <c r="D20" i="1" s="1"/>
  <c r="D4" i="1"/>
  <c r="D6" i="1" l="1"/>
  <c r="D7" i="1" s="1"/>
  <c r="D8" i="1" s="1"/>
  <c r="D9" i="1" s="1"/>
  <c r="D10" i="1" s="1"/>
  <c r="D11" i="1" s="1"/>
  <c r="D5" i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4" i="1"/>
  <c r="G34" i="1" s="1"/>
  <c r="F33" i="1"/>
  <c r="G33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C24" i="1"/>
  <c r="D24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23" i="1"/>
  <c r="D23" i="1" s="1"/>
  <c r="E23" i="1" s="1"/>
  <c r="E24" i="1" l="1"/>
  <c r="H23" i="1"/>
  <c r="E25" i="1" l="1"/>
  <c r="I23" i="1"/>
  <c r="P23" i="1" s="1"/>
  <c r="J23" i="1" s="1"/>
  <c r="F50" i="1"/>
  <c r="P24" i="1" l="1"/>
  <c r="J24" i="1" s="1"/>
  <c r="E26" i="1"/>
  <c r="G43" i="1"/>
  <c r="F49" i="1" s="1"/>
  <c r="E27" i="1" l="1"/>
  <c r="E28" i="1" l="1"/>
  <c r="E29" i="1" l="1"/>
  <c r="E30" i="1" l="1"/>
  <c r="E31" i="1" l="1"/>
  <c r="E32" i="1" l="1"/>
  <c r="E33" i="1" l="1"/>
  <c r="E34" i="1" l="1"/>
  <c r="E35" i="1" l="1"/>
  <c r="E36" i="1" l="1"/>
  <c r="E37" i="1" l="1"/>
  <c r="E38" i="1" l="1"/>
  <c r="E39" i="1" l="1"/>
  <c r="E40" i="1" l="1"/>
  <c r="E41" i="1" l="1"/>
  <c r="E42" i="1" l="1"/>
  <c r="N43" i="1" l="1"/>
  <c r="F48" i="1"/>
  <c r="H24" i="1"/>
  <c r="I24" i="1" s="1"/>
  <c r="M24" i="1" l="1"/>
  <c r="L24" i="1" s="1"/>
  <c r="K24" i="1"/>
  <c r="P25" i="1" s="1"/>
  <c r="J25" i="1" s="1"/>
  <c r="H25" i="1" l="1"/>
  <c r="I25" i="1" s="1"/>
  <c r="K25" i="1"/>
  <c r="P26" i="1" l="1"/>
  <c r="M25" i="1"/>
  <c r="L25" i="1" s="1"/>
  <c r="H26" i="1" l="1"/>
  <c r="I26" i="1" s="1"/>
  <c r="J26" i="1"/>
  <c r="K26" i="1" s="1"/>
  <c r="P27" i="1" l="1"/>
  <c r="J27" i="1" s="1"/>
  <c r="M26" i="1"/>
  <c r="L26" i="1" s="1"/>
  <c r="H27" i="1" l="1"/>
  <c r="I27" i="1" s="1"/>
  <c r="P28" i="1" s="1"/>
  <c r="K27" i="1"/>
  <c r="M27" i="1"/>
  <c r="L27" i="1" s="1"/>
  <c r="J28" i="1" l="1"/>
  <c r="K28" i="1"/>
  <c r="H28" i="1"/>
  <c r="I28" i="1" s="1"/>
  <c r="P29" i="1" s="1"/>
  <c r="J29" i="1" s="1"/>
  <c r="M28" i="1" l="1"/>
  <c r="L28" i="1" s="1"/>
  <c r="K29" i="1"/>
  <c r="H29" i="1"/>
  <c r="M29" i="1" s="1"/>
  <c r="L29" i="1" s="1"/>
  <c r="I29" i="1" l="1"/>
  <c r="P30" i="1" s="1"/>
  <c r="H30" i="1" l="1"/>
  <c r="I30" i="1" s="1"/>
  <c r="J30" i="1"/>
  <c r="K30" i="1" s="1"/>
  <c r="M30" i="1"/>
  <c r="L30" i="1" s="1"/>
  <c r="P31" i="1" l="1"/>
  <c r="J31" i="1" s="1"/>
  <c r="K31" i="1" s="1"/>
  <c r="H31" i="1" l="1"/>
  <c r="I31" i="1" s="1"/>
  <c r="P32" i="1" s="1"/>
  <c r="J32" i="1" s="1"/>
  <c r="M31" i="1" l="1"/>
  <c r="L31" i="1" s="1"/>
  <c r="H32" i="1"/>
  <c r="M32" i="1" s="1"/>
  <c r="L32" i="1" s="1"/>
  <c r="K32" i="1"/>
  <c r="I32" i="1" l="1"/>
  <c r="P33" i="1" s="1"/>
  <c r="J33" i="1" s="1"/>
  <c r="K33" i="1" l="1"/>
  <c r="H33" i="1" l="1"/>
  <c r="I33" i="1" s="1"/>
  <c r="P34" i="1" s="1"/>
  <c r="J34" i="1" s="1"/>
  <c r="K34" i="1" l="1"/>
  <c r="H34" i="1"/>
  <c r="I34" i="1" s="1"/>
  <c r="M33" i="1"/>
  <c r="L33" i="1" s="1"/>
  <c r="P35" i="1" l="1"/>
  <c r="J35" i="1" s="1"/>
  <c r="M34" i="1"/>
  <c r="L34" i="1" s="1"/>
  <c r="H35" i="1" l="1"/>
  <c r="I35" i="1" s="1"/>
  <c r="K35" i="1"/>
  <c r="P36" i="1" l="1"/>
  <c r="J36" i="1" s="1"/>
  <c r="M35" i="1"/>
  <c r="L35" i="1" s="1"/>
  <c r="K36" i="1" l="1"/>
  <c r="H36" i="1"/>
  <c r="I36" i="1" s="1"/>
  <c r="P37" i="1"/>
  <c r="J37" i="1" s="1"/>
  <c r="M36" i="1"/>
  <c r="L36" i="1" s="1"/>
  <c r="K37" i="1" l="1"/>
  <c r="H37" i="1"/>
  <c r="I37" i="1" s="1"/>
  <c r="P38" i="1" s="1"/>
  <c r="J38" i="1" s="1"/>
  <c r="H38" i="1" l="1"/>
  <c r="I38" i="1" s="1"/>
  <c r="M37" i="1"/>
  <c r="L37" i="1" s="1"/>
  <c r="K38" i="1"/>
  <c r="P39" i="1" l="1"/>
  <c r="J39" i="1" s="1"/>
  <c r="M38" i="1"/>
  <c r="K39" i="1" l="1"/>
  <c r="H39" i="1"/>
  <c r="I39" i="1" s="1"/>
  <c r="P40" i="1" s="1"/>
  <c r="J40" i="1" s="1"/>
  <c r="L38" i="1"/>
  <c r="K40" i="1" l="1"/>
  <c r="H40" i="1"/>
  <c r="I40" i="1" s="1"/>
  <c r="M39" i="1"/>
  <c r="P41" i="1" l="1"/>
  <c r="J41" i="1" s="1"/>
  <c r="M40" i="1"/>
  <c r="L40" i="1" s="1"/>
  <c r="L39" i="1"/>
  <c r="H41" i="1" l="1"/>
  <c r="I41" i="1" s="1"/>
  <c r="K41" i="1"/>
  <c r="M41" i="1"/>
  <c r="L41" i="1" s="1"/>
  <c r="P42" i="1" l="1"/>
  <c r="J42" i="1" l="1"/>
  <c r="M42" i="1" s="1"/>
  <c r="M43" i="1" s="1"/>
  <c r="F46" i="1" s="1"/>
  <c r="K42" i="1"/>
  <c r="H42" i="1"/>
  <c r="I42" i="1" s="1"/>
  <c r="L42" i="1"/>
  <c r="L43" i="1" s="1"/>
  <c r="F51" i="1" s="1"/>
  <c r="F47" i="1"/>
</calcChain>
</file>

<file path=xl/sharedStrings.xml><?xml version="1.0" encoding="utf-8"?>
<sst xmlns="http://schemas.openxmlformats.org/spreadsheetml/2006/main" count="48" uniqueCount="36">
  <si>
    <t>Gelişlerarası Sürenin Dağılımı</t>
  </si>
  <si>
    <t>Rassal Sayı Aralıkları</t>
  </si>
  <si>
    <t>Olasılık</t>
  </si>
  <si>
    <t>Alt</t>
  </si>
  <si>
    <t>Üst</t>
  </si>
  <si>
    <t>Toplam</t>
  </si>
  <si>
    <t>Sonuçlar</t>
  </si>
  <si>
    <t>dk</t>
  </si>
  <si>
    <t>Birikimli Olasılık</t>
  </si>
  <si>
    <t>Servis Süresinin Dağılımı</t>
  </si>
  <si>
    <t>Gelişler arası süre (dk)</t>
  </si>
  <si>
    <t>Servis süresi (dk)</t>
  </si>
  <si>
    <t>Gelişler arası rassal sayı</t>
  </si>
  <si>
    <t>Geliş arası süre</t>
  </si>
  <si>
    <t>Geliş zamanı</t>
  </si>
  <si>
    <t>Müşteri no</t>
  </si>
  <si>
    <t>Servis rassal sayı</t>
  </si>
  <si>
    <t>Servis süresi</t>
  </si>
  <si>
    <t>Servisin bittiği zaman (ayrılma zamanı)</t>
  </si>
  <si>
    <t>Sistemde harcanan süre</t>
  </si>
  <si>
    <t>Kuyrukta bekleme süresi</t>
  </si>
  <si>
    <t>Sistemde harcanan ortalama süre:</t>
  </si>
  <si>
    <t>Teorik gelişler arası süre:</t>
  </si>
  <si>
    <t>Teorik servis süresi:</t>
  </si>
  <si>
    <t>Sunucunun boş bekleme olasılığı:</t>
  </si>
  <si>
    <t>Bir müşterinin kuyrukta bekleme olasılığı:</t>
  </si>
  <si>
    <t>Bir müşterinin ortalama servis süresi:</t>
  </si>
  <si>
    <t>Müşterilerin ortalama gelişlerarası süresi:</t>
  </si>
  <si>
    <t>Bir müşterinin ortalama kuyrukta bekleme süresi:</t>
  </si>
  <si>
    <t>BANKA SİMÜLASYONU</t>
  </si>
  <si>
    <t>2. vezne başlama saati</t>
  </si>
  <si>
    <t>hangi vezne?</t>
  </si>
  <si>
    <t>2. sunucunun boşta kaldığı süre</t>
  </si>
  <si>
    <t>1. vezne başladığı zaman</t>
  </si>
  <si>
    <t>2. vezne bittiği zaman (ayrılma zamanı)</t>
  </si>
  <si>
    <t>1. Sunucunun boş kaldığı süre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</si>
</sst>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charset val="162"/>
      <scheme val="minor"/>
    </font>
    <font>
      <sz val="11"/>
      <color theme="1"/>
      <name val="Times New Roman"/>
      <family val="1"/>
      <charset val="162"/>
    </font>
    <font>
      <b/>
      <sz val="12"/>
      <name val="Times New Roman"/>
      <family val="1"/>
      <charset val="162"/>
    </font>
    <font>
      <b/>
      <sz val="16"/>
      <name val="Times New Roman"/>
      <family val="1"/>
      <charset val="162"/>
    </font>
    <font>
      <b/>
      <sz val="11"/>
      <color theme="1"/>
      <name val="Times New Roman"/>
      <family val="1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1" fontId="1" fillId="5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" fontId="1" fillId="5" borderId="5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6" borderId="5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6" borderId="5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63B38-1FE4-4B36-B208-1E14AE048253}">
  <dimension ref="B1:P53"/>
  <sheetViews>
    <sheetView tabSelected="1" zoomScale="84" workbookViewId="0">
      <selection activeCell="M14" sqref="M14"/>
    </sheetView>
  </sheetViews>
  <sheetFormatPr defaultColWidth="9.140625" defaultRowHeight="15" x14ac:dyDescent="0.25"/>
  <cols>
    <col min="1" max="1" width="9.140625" style="1"/>
    <col min="2" max="3" width="17" style="1" customWidth="1"/>
    <col min="4" max="4" width="24" style="1" customWidth="1"/>
    <col min="5" max="5" width="9.140625" style="1"/>
    <col min="6" max="6" width="15.5703125" style="1" bestFit="1" customWidth="1"/>
    <col min="7" max="8" width="23.85546875" style="1" customWidth="1"/>
    <col min="9" max="9" width="13.7109375" style="1" customWidth="1"/>
    <col min="10" max="12" width="11.140625" style="1" customWidth="1"/>
    <col min="13" max="13" width="10.85546875" style="1" customWidth="1"/>
    <col min="14" max="16384" width="9.140625" style="1"/>
  </cols>
  <sheetData>
    <row r="1" spans="2:8" ht="29.25" customHeight="1" x14ac:dyDescent="0.25">
      <c r="B1" s="17" t="s">
        <v>29</v>
      </c>
      <c r="C1" s="18"/>
      <c r="D1" s="18"/>
      <c r="E1" s="18"/>
      <c r="F1" s="18"/>
      <c r="G1" s="18"/>
      <c r="H1" s="19"/>
    </row>
    <row r="2" spans="2:8" x14ac:dyDescent="0.25">
      <c r="B2" s="20" t="s">
        <v>0</v>
      </c>
      <c r="C2" s="20"/>
      <c r="D2" s="20"/>
      <c r="F2" s="20" t="s">
        <v>1</v>
      </c>
      <c r="G2" s="20"/>
      <c r="H2" s="20"/>
    </row>
    <row r="3" spans="2:8" ht="26.25" customHeight="1" x14ac:dyDescent="0.25">
      <c r="B3" s="8" t="s">
        <v>10</v>
      </c>
      <c r="C3" s="8" t="s">
        <v>2</v>
      </c>
      <c r="D3" s="8" t="s">
        <v>8</v>
      </c>
      <c r="F3" s="8" t="s">
        <v>3</v>
      </c>
      <c r="G3" s="8" t="s">
        <v>4</v>
      </c>
      <c r="H3" s="8" t="s">
        <v>10</v>
      </c>
    </row>
    <row r="4" spans="2:8" x14ac:dyDescent="0.25">
      <c r="B4" s="9">
        <v>1</v>
      </c>
      <c r="C4" s="9">
        <v>0.125</v>
      </c>
      <c r="D4" s="9">
        <f>C4</f>
        <v>0.125</v>
      </c>
      <c r="F4" s="9">
        <v>0</v>
      </c>
      <c r="G4" s="9">
        <v>124</v>
      </c>
      <c r="H4" s="9">
        <v>1</v>
      </c>
    </row>
    <row r="5" spans="2:8" x14ac:dyDescent="0.25">
      <c r="B5" s="9">
        <v>2</v>
      </c>
      <c r="C5" s="9">
        <v>0.125</v>
      </c>
      <c r="D5" s="9">
        <f>D4+C5</f>
        <v>0.25</v>
      </c>
      <c r="F5" s="9">
        <v>125</v>
      </c>
      <c r="G5" s="9">
        <v>249</v>
      </c>
      <c r="H5" s="9">
        <v>2</v>
      </c>
    </row>
    <row r="6" spans="2:8" x14ac:dyDescent="0.25">
      <c r="B6" s="9">
        <v>3</v>
      </c>
      <c r="C6" s="9">
        <v>0.125</v>
      </c>
      <c r="D6" s="9">
        <f t="shared" ref="D6:D11" si="0">D5+C6</f>
        <v>0.375</v>
      </c>
      <c r="F6" s="9">
        <v>250</v>
      </c>
      <c r="G6" s="9">
        <v>374</v>
      </c>
      <c r="H6" s="9">
        <v>3</v>
      </c>
    </row>
    <row r="7" spans="2:8" x14ac:dyDescent="0.25">
      <c r="B7" s="9">
        <v>4</v>
      </c>
      <c r="C7" s="9">
        <v>0.125</v>
      </c>
      <c r="D7" s="9">
        <f t="shared" si="0"/>
        <v>0.5</v>
      </c>
      <c r="F7" s="9">
        <v>375</v>
      </c>
      <c r="G7" s="9">
        <v>499</v>
      </c>
      <c r="H7" s="9">
        <v>4</v>
      </c>
    </row>
    <row r="8" spans="2:8" x14ac:dyDescent="0.25">
      <c r="B8" s="9">
        <v>5</v>
      </c>
      <c r="C8" s="9">
        <v>0.125</v>
      </c>
      <c r="D8" s="9">
        <f t="shared" si="0"/>
        <v>0.625</v>
      </c>
      <c r="F8" s="9">
        <v>500</v>
      </c>
      <c r="G8" s="9">
        <v>624</v>
      </c>
      <c r="H8" s="9">
        <v>5</v>
      </c>
    </row>
    <row r="9" spans="2:8" x14ac:dyDescent="0.25">
      <c r="B9" s="9">
        <v>6</v>
      </c>
      <c r="C9" s="9">
        <v>0.125</v>
      </c>
      <c r="D9" s="9">
        <f t="shared" si="0"/>
        <v>0.75</v>
      </c>
      <c r="F9" s="9">
        <v>625</v>
      </c>
      <c r="G9" s="9">
        <v>749</v>
      </c>
      <c r="H9" s="9">
        <v>6</v>
      </c>
    </row>
    <row r="10" spans="2:8" x14ac:dyDescent="0.25">
      <c r="B10" s="9">
        <v>7</v>
      </c>
      <c r="C10" s="9">
        <v>0.125</v>
      </c>
      <c r="D10" s="9">
        <f t="shared" si="0"/>
        <v>0.875</v>
      </c>
      <c r="F10" s="9">
        <v>750</v>
      </c>
      <c r="G10" s="9">
        <v>874</v>
      </c>
      <c r="H10" s="9">
        <v>7</v>
      </c>
    </row>
    <row r="11" spans="2:8" x14ac:dyDescent="0.25">
      <c r="B11" s="9">
        <v>8</v>
      </c>
      <c r="C11" s="9">
        <v>0.125</v>
      </c>
      <c r="D11" s="9">
        <f t="shared" si="0"/>
        <v>1</v>
      </c>
      <c r="F11" s="9">
        <v>875</v>
      </c>
      <c r="G11" s="9">
        <v>999</v>
      </c>
      <c r="H11" s="9">
        <v>8</v>
      </c>
    </row>
    <row r="13" spans="2:8" x14ac:dyDescent="0.25">
      <c r="B13" s="20" t="s">
        <v>9</v>
      </c>
      <c r="C13" s="20"/>
      <c r="D13" s="20"/>
      <c r="F13" s="20" t="s">
        <v>1</v>
      </c>
      <c r="G13" s="20"/>
      <c r="H13" s="20"/>
    </row>
    <row r="14" spans="2:8" x14ac:dyDescent="0.25">
      <c r="B14" s="8" t="s">
        <v>11</v>
      </c>
      <c r="C14" s="8" t="s">
        <v>2</v>
      </c>
      <c r="D14" s="8" t="s">
        <v>8</v>
      </c>
      <c r="F14" s="8" t="s">
        <v>3</v>
      </c>
      <c r="G14" s="8" t="s">
        <v>4</v>
      </c>
      <c r="H14" s="8" t="s">
        <v>11</v>
      </c>
    </row>
    <row r="15" spans="2:8" x14ac:dyDescent="0.25">
      <c r="B15" s="9">
        <v>1</v>
      </c>
      <c r="C15" s="9">
        <v>0.1</v>
      </c>
      <c r="D15" s="9">
        <f>C15</f>
        <v>0.1</v>
      </c>
      <c r="E15" s="3"/>
      <c r="F15" s="9">
        <v>0</v>
      </c>
      <c r="G15" s="9">
        <v>99</v>
      </c>
      <c r="H15" s="9">
        <v>1</v>
      </c>
    </row>
    <row r="16" spans="2:8" x14ac:dyDescent="0.25">
      <c r="B16" s="9">
        <v>2</v>
      </c>
      <c r="C16" s="9">
        <v>0.2</v>
      </c>
      <c r="D16" s="9">
        <f>D15+C16</f>
        <v>0.30000000000000004</v>
      </c>
      <c r="E16" s="3"/>
      <c r="F16" s="9">
        <v>100</v>
      </c>
      <c r="G16" s="9">
        <v>299</v>
      </c>
      <c r="H16" s="9">
        <v>2</v>
      </c>
    </row>
    <row r="17" spans="2:16" x14ac:dyDescent="0.25">
      <c r="B17" s="9">
        <v>3</v>
      </c>
      <c r="C17" s="9">
        <v>0.3</v>
      </c>
      <c r="D17" s="9">
        <f t="shared" ref="D17:D20" si="1">D16+C17</f>
        <v>0.60000000000000009</v>
      </c>
      <c r="E17" s="3"/>
      <c r="F17" s="9">
        <v>300</v>
      </c>
      <c r="G17" s="9">
        <v>599</v>
      </c>
      <c r="H17" s="9">
        <v>3</v>
      </c>
    </row>
    <row r="18" spans="2:16" x14ac:dyDescent="0.25">
      <c r="B18" s="9">
        <v>4</v>
      </c>
      <c r="C18" s="9">
        <v>0.25</v>
      </c>
      <c r="D18" s="9">
        <f t="shared" si="1"/>
        <v>0.85000000000000009</v>
      </c>
      <c r="E18" s="3"/>
      <c r="F18" s="9">
        <v>600</v>
      </c>
      <c r="G18" s="9">
        <v>849</v>
      </c>
      <c r="H18" s="9">
        <v>4</v>
      </c>
    </row>
    <row r="19" spans="2:16" x14ac:dyDescent="0.25">
      <c r="B19" s="9">
        <v>5</v>
      </c>
      <c r="C19" s="9">
        <v>0.1</v>
      </c>
      <c r="D19" s="9">
        <f t="shared" si="1"/>
        <v>0.95000000000000007</v>
      </c>
      <c r="E19" s="3"/>
      <c r="F19" s="9">
        <v>850</v>
      </c>
      <c r="G19" s="9">
        <v>949</v>
      </c>
      <c r="H19" s="9">
        <v>5</v>
      </c>
    </row>
    <row r="20" spans="2:16" x14ac:dyDescent="0.25">
      <c r="B20" s="9">
        <v>6</v>
      </c>
      <c r="C20" s="9">
        <v>0.05</v>
      </c>
      <c r="D20" s="9">
        <f t="shared" si="1"/>
        <v>1</v>
      </c>
      <c r="E20" s="3"/>
      <c r="F20" s="9">
        <v>950</v>
      </c>
      <c r="G20" s="9">
        <v>999</v>
      </c>
      <c r="H20" s="9">
        <v>6</v>
      </c>
    </row>
    <row r="21" spans="2:16" x14ac:dyDescent="0.25">
      <c r="D21" s="3"/>
      <c r="F21" s="3"/>
      <c r="G21" s="3"/>
    </row>
    <row r="22" spans="2:16" ht="75" x14ac:dyDescent="0.25">
      <c r="B22" s="2" t="s">
        <v>15</v>
      </c>
      <c r="C22" s="2" t="s">
        <v>12</v>
      </c>
      <c r="D22" s="2" t="s">
        <v>13</v>
      </c>
      <c r="E22" s="2" t="s">
        <v>14</v>
      </c>
      <c r="F22" s="2" t="s">
        <v>16</v>
      </c>
      <c r="G22" s="2" t="s">
        <v>17</v>
      </c>
      <c r="H22" s="2" t="s">
        <v>33</v>
      </c>
      <c r="I22" s="2" t="s">
        <v>18</v>
      </c>
      <c r="J22" s="2" t="s">
        <v>30</v>
      </c>
      <c r="K22" s="2" t="s">
        <v>34</v>
      </c>
      <c r="L22" s="2" t="s">
        <v>19</v>
      </c>
      <c r="M22" s="2" t="s">
        <v>20</v>
      </c>
      <c r="N22" s="2" t="s">
        <v>35</v>
      </c>
      <c r="O22" s="2" t="s">
        <v>32</v>
      </c>
      <c r="P22" s="2" t="s">
        <v>31</v>
      </c>
    </row>
    <row r="23" spans="2:16" x14ac:dyDescent="0.25">
      <c r="B23" s="5">
        <v>1</v>
      </c>
      <c r="C23" s="7">
        <f ca="1">ROUNDDOWN(RAND()*1000,0)</f>
        <v>962</v>
      </c>
      <c r="D23" s="7">
        <f ca="1">VLOOKUP(C23,$F$4:$H$11,3)</f>
        <v>8</v>
      </c>
      <c r="E23" s="7">
        <f ca="1">D23</f>
        <v>8</v>
      </c>
      <c r="F23" s="7">
        <f ca="1">ROUNDDOWN(RAND()*1000,0)</f>
        <v>818</v>
      </c>
      <c r="G23" s="5">
        <f ca="1">VLOOKUP(F23,$F$15:$H$20,3)</f>
        <v>4</v>
      </c>
      <c r="H23" s="7">
        <f ca="1">E23</f>
        <v>8</v>
      </c>
      <c r="I23" s="7">
        <f ca="1">G23+H23</f>
        <v>12</v>
      </c>
      <c r="J23" s="7">
        <f t="shared" ref="J23:J26" ca="1" si="2">IF(P23=2,MAX(E23,K22),0)</f>
        <v>0</v>
      </c>
      <c r="K23" s="7">
        <v>0</v>
      </c>
      <c r="L23" s="7">
        <f ca="1">M23+G23</f>
        <v>4</v>
      </c>
      <c r="M23" s="5">
        <v>0</v>
      </c>
      <c r="N23" s="7"/>
      <c r="O23" s="7"/>
      <c r="P23" s="7">
        <f ca="1">IF(E23&gt;=MAX($I22:I$23),1,IF(E23&gt;=K22,2,IF(I22&gt;=K22,1,2)))</f>
        <v>1</v>
      </c>
    </row>
    <row r="24" spans="2:16" x14ac:dyDescent="0.25">
      <c r="B24" s="5">
        <v>2</v>
      </c>
      <c r="C24" s="7">
        <f t="shared" ref="C24:C42" ca="1" si="3">ROUNDDOWN(RAND()*1000,0)</f>
        <v>725</v>
      </c>
      <c r="D24" s="7">
        <f t="shared" ref="D24:D41" ca="1" si="4">VLOOKUP(C24,$F$4:$H$11,3)</f>
        <v>6</v>
      </c>
      <c r="E24" s="7">
        <f ca="1">E23+D24</f>
        <v>14</v>
      </c>
      <c r="F24" s="7">
        <f t="shared" ref="F24:F42" ca="1" si="5">ROUNDDOWN(RAND()*1000,0)</f>
        <v>294</v>
      </c>
      <c r="G24" s="5">
        <f t="shared" ref="G24:G41" ca="1" si="6">VLOOKUP(F24,$F$15:$H$20,3)</f>
        <v>2</v>
      </c>
      <c r="H24" s="5">
        <f t="shared" ref="H24:H42" ca="1" si="7">IF(P24=1,MAX(I23,E24,),0)</f>
        <v>14</v>
      </c>
      <c r="I24" s="5">
        <f t="shared" ref="I24:I42" ca="1" si="8">IF(P24=1,G24+H24,0)</f>
        <v>16</v>
      </c>
      <c r="J24" s="7">
        <f t="shared" ca="1" si="2"/>
        <v>0</v>
      </c>
      <c r="K24" s="7">
        <f t="shared" ref="K24:K42" ca="1" si="9">IF(P24=2,J24+G24,0)</f>
        <v>0</v>
      </c>
      <c r="L24" s="7">
        <f t="shared" ref="L24:L42" ca="1" si="10">M24+G24</f>
        <v>2</v>
      </c>
      <c r="M24" s="5">
        <f t="shared" ref="M24:M42" ca="1" si="11">IF(P24=1,H24-E24,J24-E24)</f>
        <v>0</v>
      </c>
      <c r="N24" s="7"/>
      <c r="O24" s="7"/>
      <c r="P24" s="7">
        <f ca="1">IF(E24&gt;=MAX($I$23:I23),1,IF(E24&gt;=K23,2,IF(I23&gt;=K23,1,2)))</f>
        <v>1</v>
      </c>
    </row>
    <row r="25" spans="2:16" x14ac:dyDescent="0.25">
      <c r="B25" s="6">
        <v>3</v>
      </c>
      <c r="C25" s="7">
        <f ca="1">ROUNDDOWN(RAND()*1000,0)</f>
        <v>856</v>
      </c>
      <c r="D25" s="7">
        <f t="shared" ca="1" si="4"/>
        <v>7</v>
      </c>
      <c r="E25" s="7">
        <f ca="1">E24+D25</f>
        <v>21</v>
      </c>
      <c r="F25" s="7">
        <f t="shared" ca="1" si="5"/>
        <v>818</v>
      </c>
      <c r="G25" s="5">
        <f t="shared" ca="1" si="6"/>
        <v>4</v>
      </c>
      <c r="H25" s="5">
        <f t="shared" ca="1" si="7"/>
        <v>21</v>
      </c>
      <c r="I25" s="5">
        <f t="shared" ca="1" si="8"/>
        <v>25</v>
      </c>
      <c r="J25" s="7">
        <f t="shared" ca="1" si="2"/>
        <v>0</v>
      </c>
      <c r="K25" s="7">
        <f t="shared" ca="1" si="9"/>
        <v>0</v>
      </c>
      <c r="L25" s="7">
        <f t="shared" ca="1" si="10"/>
        <v>4</v>
      </c>
      <c r="M25" s="5">
        <f t="shared" ca="1" si="11"/>
        <v>0</v>
      </c>
      <c r="N25" s="7"/>
      <c r="O25" s="7"/>
      <c r="P25" s="7">
        <f ca="1">IF(E25&gt;=MAX($I$23:I24),1,IF(E25&gt;=K24,2,IF(I24&gt;=K24,1,2)))</f>
        <v>1</v>
      </c>
    </row>
    <row r="26" spans="2:16" x14ac:dyDescent="0.25">
      <c r="B26" s="5">
        <v>4</v>
      </c>
      <c r="C26" s="7">
        <f t="shared" ca="1" si="3"/>
        <v>683</v>
      </c>
      <c r="D26" s="7">
        <f t="shared" ca="1" si="4"/>
        <v>6</v>
      </c>
      <c r="E26" s="12">
        <f t="shared" ref="E26:E41" ca="1" si="12">E25+D26</f>
        <v>27</v>
      </c>
      <c r="F26" s="7">
        <f t="shared" ca="1" si="5"/>
        <v>358</v>
      </c>
      <c r="G26" s="5">
        <f t="shared" ca="1" si="6"/>
        <v>3</v>
      </c>
      <c r="H26" s="5">
        <f t="shared" ca="1" si="7"/>
        <v>27</v>
      </c>
      <c r="I26" s="5">
        <f t="shared" ca="1" si="8"/>
        <v>30</v>
      </c>
      <c r="J26" s="7">
        <f t="shared" ca="1" si="2"/>
        <v>0</v>
      </c>
      <c r="K26" s="7">
        <f t="shared" ca="1" si="9"/>
        <v>0</v>
      </c>
      <c r="L26" s="7">
        <f t="shared" ca="1" si="10"/>
        <v>3</v>
      </c>
      <c r="M26" s="5">
        <f t="shared" ca="1" si="11"/>
        <v>0</v>
      </c>
      <c r="N26" s="7"/>
      <c r="O26" s="7"/>
      <c r="P26" s="7">
        <f ca="1">IF(E26&gt;=MAX($I$23:I25),1,IF(E26&gt;=K25,2,IF(I25&gt;=K25,1,2)))</f>
        <v>1</v>
      </c>
    </row>
    <row r="27" spans="2:16" x14ac:dyDescent="0.25">
      <c r="B27" s="6">
        <v>5</v>
      </c>
      <c r="C27" s="7">
        <f t="shared" ca="1" si="3"/>
        <v>44</v>
      </c>
      <c r="D27" s="7">
        <f t="shared" ca="1" si="4"/>
        <v>1</v>
      </c>
      <c r="E27" s="7">
        <f t="shared" ca="1" si="12"/>
        <v>28</v>
      </c>
      <c r="F27" s="7">
        <f t="shared" ca="1" si="5"/>
        <v>54</v>
      </c>
      <c r="G27" s="5">
        <f t="shared" ca="1" si="6"/>
        <v>1</v>
      </c>
      <c r="H27" s="5">
        <f t="shared" ca="1" si="7"/>
        <v>0</v>
      </c>
      <c r="I27" s="5">
        <f t="shared" ca="1" si="8"/>
        <v>0</v>
      </c>
      <c r="J27" s="7">
        <f ca="1">IF(P27=2,MAX(E27,K26),0)</f>
        <v>28</v>
      </c>
      <c r="K27" s="7">
        <f t="shared" ca="1" si="9"/>
        <v>29</v>
      </c>
      <c r="L27" s="7">
        <f t="shared" ca="1" si="10"/>
        <v>1</v>
      </c>
      <c r="M27" s="5">
        <f t="shared" ca="1" si="11"/>
        <v>0</v>
      </c>
      <c r="N27" s="7"/>
      <c r="O27" s="7"/>
      <c r="P27" s="7">
        <f ca="1">IF(E27&gt;=MAX($I$23:I26),1,IF(E27&gt;=K26,2,IF(I26&gt;=K26,1,2)))</f>
        <v>2</v>
      </c>
    </row>
    <row r="28" spans="2:16" x14ac:dyDescent="0.25">
      <c r="B28" s="5">
        <v>6</v>
      </c>
      <c r="C28" s="7">
        <f t="shared" ca="1" si="3"/>
        <v>396</v>
      </c>
      <c r="D28" s="7">
        <f t="shared" ca="1" si="4"/>
        <v>4</v>
      </c>
      <c r="E28" s="12">
        <f t="shared" ca="1" si="12"/>
        <v>32</v>
      </c>
      <c r="F28" s="7">
        <f t="shared" ca="1" si="5"/>
        <v>932</v>
      </c>
      <c r="G28" s="5">
        <f t="shared" ca="1" si="6"/>
        <v>5</v>
      </c>
      <c r="H28" s="5">
        <f t="shared" ca="1" si="7"/>
        <v>32</v>
      </c>
      <c r="I28" s="5">
        <f t="shared" ca="1" si="8"/>
        <v>37</v>
      </c>
      <c r="J28" s="7">
        <f t="shared" ref="J28:J42" ca="1" si="13">IF(P28=2,MAX(E28,K27),0)</f>
        <v>0</v>
      </c>
      <c r="K28" s="7">
        <f t="shared" ca="1" si="9"/>
        <v>0</v>
      </c>
      <c r="L28" s="7">
        <f t="shared" ca="1" si="10"/>
        <v>5</v>
      </c>
      <c r="M28" s="5">
        <f t="shared" ca="1" si="11"/>
        <v>0</v>
      </c>
      <c r="N28" s="7"/>
      <c r="O28" s="7"/>
      <c r="P28" s="7">
        <f ca="1">IF(E28&gt;=MAX($I$23:I27),1,IF(E28&gt;=K27,2,IF(I27&gt;=K27,1,2)))</f>
        <v>1</v>
      </c>
    </row>
    <row r="29" spans="2:16" x14ac:dyDescent="0.25">
      <c r="B29" s="6">
        <v>7</v>
      </c>
      <c r="C29" s="7">
        <f t="shared" ca="1" si="3"/>
        <v>284</v>
      </c>
      <c r="D29" s="7">
        <f t="shared" ca="1" si="4"/>
        <v>3</v>
      </c>
      <c r="E29" s="7">
        <f t="shared" ca="1" si="12"/>
        <v>35</v>
      </c>
      <c r="F29" s="7">
        <f t="shared" ca="1" si="5"/>
        <v>674</v>
      </c>
      <c r="G29" s="5">
        <f t="shared" ca="1" si="6"/>
        <v>4</v>
      </c>
      <c r="H29" s="5">
        <f t="shared" ca="1" si="7"/>
        <v>0</v>
      </c>
      <c r="I29" s="5">
        <f t="shared" ca="1" si="8"/>
        <v>0</v>
      </c>
      <c r="J29" s="7">
        <f t="shared" ca="1" si="13"/>
        <v>35</v>
      </c>
      <c r="K29" s="7">
        <f t="shared" ca="1" si="9"/>
        <v>39</v>
      </c>
      <c r="L29" s="7">
        <f t="shared" ca="1" si="10"/>
        <v>4</v>
      </c>
      <c r="M29" s="5">
        <f t="shared" ca="1" si="11"/>
        <v>0</v>
      </c>
      <c r="N29" s="7"/>
      <c r="O29" s="7"/>
      <c r="P29" s="7">
        <f ca="1">IF(E29&gt;=MAX($I$23:I28),1,IF(E29&gt;=K28,2,IF(I28&gt;=K28,1,2)))</f>
        <v>2</v>
      </c>
    </row>
    <row r="30" spans="2:16" x14ac:dyDescent="0.25">
      <c r="B30" s="5">
        <v>8</v>
      </c>
      <c r="C30" s="7">
        <f t="shared" ca="1" si="3"/>
        <v>3</v>
      </c>
      <c r="D30" s="7">
        <f t="shared" ca="1" si="4"/>
        <v>1</v>
      </c>
      <c r="E30" s="7">
        <f t="shared" ca="1" si="12"/>
        <v>36</v>
      </c>
      <c r="F30" s="7">
        <f t="shared" ca="1" si="5"/>
        <v>552</v>
      </c>
      <c r="G30" s="5">
        <f t="shared" ca="1" si="6"/>
        <v>3</v>
      </c>
      <c r="H30" s="5">
        <f t="shared" ca="1" si="7"/>
        <v>0</v>
      </c>
      <c r="I30" s="5">
        <f t="shared" ca="1" si="8"/>
        <v>0</v>
      </c>
      <c r="J30" s="7">
        <f t="shared" ca="1" si="13"/>
        <v>39</v>
      </c>
      <c r="K30" s="7">
        <f t="shared" ca="1" si="9"/>
        <v>42</v>
      </c>
      <c r="L30" s="7">
        <f t="shared" ca="1" si="10"/>
        <v>6</v>
      </c>
      <c r="M30" s="5">
        <f t="shared" ca="1" si="11"/>
        <v>3</v>
      </c>
      <c r="N30" s="7"/>
      <c r="O30" s="7"/>
      <c r="P30" s="7">
        <f ca="1">IF(E30&gt;=MAX($I$23:I29),1,IF(E30&gt;=K29,2,IF(I29&gt;=K29,1,2)))</f>
        <v>2</v>
      </c>
    </row>
    <row r="31" spans="2:16" x14ac:dyDescent="0.25">
      <c r="B31" s="6">
        <v>9</v>
      </c>
      <c r="C31" s="7">
        <f t="shared" ca="1" si="3"/>
        <v>908</v>
      </c>
      <c r="D31" s="7">
        <f t="shared" ca="1" si="4"/>
        <v>8</v>
      </c>
      <c r="E31" s="7">
        <f t="shared" ca="1" si="12"/>
        <v>44</v>
      </c>
      <c r="F31" s="7">
        <f t="shared" ca="1" si="5"/>
        <v>135</v>
      </c>
      <c r="G31" s="5">
        <f t="shared" ca="1" si="6"/>
        <v>2</v>
      </c>
      <c r="H31" s="5">
        <f t="shared" ca="1" si="7"/>
        <v>44</v>
      </c>
      <c r="I31" s="5">
        <f t="shared" ca="1" si="8"/>
        <v>46</v>
      </c>
      <c r="J31" s="7">
        <f t="shared" ca="1" si="13"/>
        <v>0</v>
      </c>
      <c r="K31" s="7">
        <f t="shared" ca="1" si="9"/>
        <v>0</v>
      </c>
      <c r="L31" s="7">
        <f t="shared" ca="1" si="10"/>
        <v>2</v>
      </c>
      <c r="M31" s="5">
        <f t="shared" ca="1" si="11"/>
        <v>0</v>
      </c>
      <c r="N31" s="7"/>
      <c r="O31" s="7"/>
      <c r="P31" s="7">
        <f ca="1">IF(E31&gt;=MAX($I$23:I30),1,IF(E31&gt;=K30,2,IF(I30&gt;=K30,1,2)))</f>
        <v>1</v>
      </c>
    </row>
    <row r="32" spans="2:16" x14ac:dyDescent="0.25">
      <c r="B32" s="5">
        <v>10</v>
      </c>
      <c r="C32" s="7">
        <f t="shared" ca="1" si="3"/>
        <v>350</v>
      </c>
      <c r="D32" s="7">
        <f t="shared" ca="1" si="4"/>
        <v>3</v>
      </c>
      <c r="E32" s="7">
        <f t="shared" ca="1" si="12"/>
        <v>47</v>
      </c>
      <c r="F32" s="7">
        <f ca="1">ROUNDDOWN(RAND()*1000,0)</f>
        <v>714</v>
      </c>
      <c r="G32" s="5">
        <f t="shared" ca="1" si="6"/>
        <v>4</v>
      </c>
      <c r="H32" s="5">
        <f t="shared" ca="1" si="7"/>
        <v>47</v>
      </c>
      <c r="I32" s="5">
        <f t="shared" ca="1" si="8"/>
        <v>51</v>
      </c>
      <c r="J32" s="7">
        <f t="shared" ca="1" si="13"/>
        <v>0</v>
      </c>
      <c r="K32" s="7">
        <f t="shared" ca="1" si="9"/>
        <v>0</v>
      </c>
      <c r="L32" s="7">
        <f t="shared" ca="1" si="10"/>
        <v>4</v>
      </c>
      <c r="M32" s="5">
        <f t="shared" ca="1" si="11"/>
        <v>0</v>
      </c>
      <c r="N32" s="7"/>
      <c r="O32" s="7"/>
      <c r="P32" s="7">
        <f ca="1">IF(E32&gt;=MAX($I$23:I31),1,IF(E32&gt;=K31,2,IF(I31&gt;=K31,1,2)))</f>
        <v>1</v>
      </c>
    </row>
    <row r="33" spans="2:16" x14ac:dyDescent="0.25">
      <c r="B33" s="6">
        <v>11</v>
      </c>
      <c r="C33" s="7">
        <f t="shared" ca="1" si="3"/>
        <v>431</v>
      </c>
      <c r="D33" s="7">
        <f t="shared" ca="1" si="4"/>
        <v>4</v>
      </c>
      <c r="E33" s="7">
        <f t="shared" ca="1" si="12"/>
        <v>51</v>
      </c>
      <c r="F33" s="7">
        <f t="shared" ca="1" si="5"/>
        <v>106</v>
      </c>
      <c r="G33" s="5">
        <f t="shared" ca="1" si="6"/>
        <v>2</v>
      </c>
      <c r="H33" s="5">
        <f t="shared" ca="1" si="7"/>
        <v>51</v>
      </c>
      <c r="I33" s="5">
        <f t="shared" ca="1" si="8"/>
        <v>53</v>
      </c>
      <c r="J33" s="7">
        <f t="shared" ca="1" si="13"/>
        <v>0</v>
      </c>
      <c r="K33" s="7">
        <f t="shared" ca="1" si="9"/>
        <v>0</v>
      </c>
      <c r="L33" s="7">
        <f t="shared" ca="1" si="10"/>
        <v>2</v>
      </c>
      <c r="M33" s="5">
        <f t="shared" ca="1" si="11"/>
        <v>0</v>
      </c>
      <c r="N33" s="7"/>
      <c r="O33" s="7"/>
      <c r="P33" s="7">
        <f ca="1">IF(E33&gt;=MAX($I$23:I32),1,IF(E33&gt;=K32,2,IF(I32&gt;=K32,1,2)))</f>
        <v>1</v>
      </c>
    </row>
    <row r="34" spans="2:16" x14ac:dyDescent="0.25">
      <c r="B34" s="5">
        <v>12</v>
      </c>
      <c r="C34" s="7">
        <f t="shared" ca="1" si="3"/>
        <v>184</v>
      </c>
      <c r="D34" s="7">
        <f t="shared" ca="1" si="4"/>
        <v>2</v>
      </c>
      <c r="E34" s="7">
        <f t="shared" ca="1" si="12"/>
        <v>53</v>
      </c>
      <c r="F34" s="7">
        <f t="shared" ca="1" si="5"/>
        <v>502</v>
      </c>
      <c r="G34" s="5">
        <f t="shared" ca="1" si="6"/>
        <v>3</v>
      </c>
      <c r="H34" s="5">
        <f t="shared" ca="1" si="7"/>
        <v>53</v>
      </c>
      <c r="I34" s="5">
        <f t="shared" ca="1" si="8"/>
        <v>56</v>
      </c>
      <c r="J34" s="7">
        <f t="shared" ca="1" si="13"/>
        <v>0</v>
      </c>
      <c r="K34" s="7">
        <f t="shared" ca="1" si="9"/>
        <v>0</v>
      </c>
      <c r="L34" s="7">
        <f t="shared" ca="1" si="10"/>
        <v>3</v>
      </c>
      <c r="M34" s="5">
        <f t="shared" ca="1" si="11"/>
        <v>0</v>
      </c>
      <c r="N34" s="7"/>
      <c r="O34" s="7"/>
      <c r="P34" s="7">
        <f ca="1">IF(E34&gt;=MAX($I$23:I33),1,IF(E34&gt;=K33,2,IF(I33&gt;=K33,1,2)))</f>
        <v>1</v>
      </c>
    </row>
    <row r="35" spans="2:16" x14ac:dyDescent="0.25">
      <c r="B35" s="6">
        <v>13</v>
      </c>
      <c r="C35" s="7">
        <f t="shared" ca="1" si="3"/>
        <v>590</v>
      </c>
      <c r="D35" s="7">
        <f t="shared" ca="1" si="4"/>
        <v>5</v>
      </c>
      <c r="E35" s="7">
        <f t="shared" ca="1" si="12"/>
        <v>58</v>
      </c>
      <c r="F35" s="7">
        <f t="shared" ca="1" si="5"/>
        <v>963</v>
      </c>
      <c r="G35" s="5">
        <f t="shared" ca="1" si="6"/>
        <v>6</v>
      </c>
      <c r="H35" s="5">
        <f t="shared" ca="1" si="7"/>
        <v>58</v>
      </c>
      <c r="I35" s="5">
        <f t="shared" ca="1" si="8"/>
        <v>64</v>
      </c>
      <c r="J35" s="7">
        <f t="shared" ca="1" si="13"/>
        <v>0</v>
      </c>
      <c r="K35" s="7">
        <f t="shared" ca="1" si="9"/>
        <v>0</v>
      </c>
      <c r="L35" s="7">
        <f t="shared" ca="1" si="10"/>
        <v>6</v>
      </c>
      <c r="M35" s="5">
        <f t="shared" ca="1" si="11"/>
        <v>0</v>
      </c>
      <c r="N35" s="7"/>
      <c r="O35" s="7"/>
      <c r="P35" s="7">
        <f ca="1">IF(E35&gt;=MAX($I$23:I34),1,IF(E35&gt;=K34,2,IF(I34&gt;=K34,1,2)))</f>
        <v>1</v>
      </c>
    </row>
    <row r="36" spans="2:16" x14ac:dyDescent="0.25">
      <c r="B36" s="5">
        <v>14</v>
      </c>
      <c r="C36" s="7">
        <f t="shared" ca="1" si="3"/>
        <v>547</v>
      </c>
      <c r="D36" s="7">
        <f t="shared" ca="1" si="4"/>
        <v>5</v>
      </c>
      <c r="E36" s="7">
        <f t="shared" ca="1" si="12"/>
        <v>63</v>
      </c>
      <c r="F36" s="7">
        <f t="shared" ca="1" si="5"/>
        <v>919</v>
      </c>
      <c r="G36" s="5">
        <f t="shared" ca="1" si="6"/>
        <v>5</v>
      </c>
      <c r="H36" s="5">
        <f t="shared" ca="1" si="7"/>
        <v>0</v>
      </c>
      <c r="I36" s="5">
        <f t="shared" ca="1" si="8"/>
        <v>0</v>
      </c>
      <c r="J36" s="7">
        <f t="shared" ca="1" si="13"/>
        <v>63</v>
      </c>
      <c r="K36" s="7">
        <f t="shared" ca="1" si="9"/>
        <v>68</v>
      </c>
      <c r="L36" s="7">
        <f t="shared" ca="1" si="10"/>
        <v>5</v>
      </c>
      <c r="M36" s="5">
        <f t="shared" ca="1" si="11"/>
        <v>0</v>
      </c>
      <c r="N36" s="7"/>
      <c r="O36" s="7"/>
      <c r="P36" s="7">
        <f ca="1">IF(E36&gt;=MAX($I$23:I35),1,IF(E36&gt;=K35,2,IF(I35&gt;=K35,1,2)))</f>
        <v>2</v>
      </c>
    </row>
    <row r="37" spans="2:16" x14ac:dyDescent="0.25">
      <c r="B37" s="6">
        <v>15</v>
      </c>
      <c r="C37" s="7">
        <f t="shared" ca="1" si="3"/>
        <v>236</v>
      </c>
      <c r="D37" s="7">
        <f ca="1">VLOOKUP(C37,$F$4:$H$11,3)</f>
        <v>2</v>
      </c>
      <c r="E37" s="7">
        <f t="shared" ca="1" si="12"/>
        <v>65</v>
      </c>
      <c r="F37" s="7">
        <f t="shared" ca="1" si="5"/>
        <v>98</v>
      </c>
      <c r="G37" s="5">
        <f t="shared" ca="1" si="6"/>
        <v>1</v>
      </c>
      <c r="H37" s="5">
        <f t="shared" ca="1" si="7"/>
        <v>65</v>
      </c>
      <c r="I37" s="5">
        <f t="shared" ca="1" si="8"/>
        <v>66</v>
      </c>
      <c r="J37" s="7">
        <f t="shared" ca="1" si="13"/>
        <v>0</v>
      </c>
      <c r="K37" s="7">
        <f t="shared" ca="1" si="9"/>
        <v>0</v>
      </c>
      <c r="L37" s="7">
        <f t="shared" ca="1" si="10"/>
        <v>1</v>
      </c>
      <c r="M37" s="5">
        <f t="shared" ca="1" si="11"/>
        <v>0</v>
      </c>
      <c r="N37" s="7"/>
      <c r="O37" s="7"/>
      <c r="P37" s="7">
        <f ca="1">IF(E37&gt;=MAX($I$23:I36),1,IF(E37&gt;=K36,2,IF(I36&gt;=K36,1,2)))</f>
        <v>1</v>
      </c>
    </row>
    <row r="38" spans="2:16" x14ac:dyDescent="0.25">
      <c r="B38" s="5">
        <v>16</v>
      </c>
      <c r="C38" s="7">
        <f t="shared" ca="1" si="3"/>
        <v>674</v>
      </c>
      <c r="D38" s="7">
        <f ca="1">VLOOKUP(C38,$F$4:$H$11,3)</f>
        <v>6</v>
      </c>
      <c r="E38" s="7">
        <f t="shared" ca="1" si="12"/>
        <v>71</v>
      </c>
      <c r="F38" s="7">
        <f t="shared" ca="1" si="5"/>
        <v>910</v>
      </c>
      <c r="G38" s="5">
        <f t="shared" ca="1" si="6"/>
        <v>5</v>
      </c>
      <c r="H38" s="5">
        <f t="shared" ca="1" si="7"/>
        <v>71</v>
      </c>
      <c r="I38" s="5">
        <f t="shared" ca="1" si="8"/>
        <v>76</v>
      </c>
      <c r="J38" s="7">
        <f t="shared" ca="1" si="13"/>
        <v>0</v>
      </c>
      <c r="K38" s="7">
        <f t="shared" ca="1" si="9"/>
        <v>0</v>
      </c>
      <c r="L38" s="7">
        <f t="shared" ca="1" si="10"/>
        <v>5</v>
      </c>
      <c r="M38" s="5">
        <f t="shared" ca="1" si="11"/>
        <v>0</v>
      </c>
      <c r="N38" s="7"/>
      <c r="O38" s="7"/>
      <c r="P38" s="7">
        <f ca="1">IF(E38&gt;=MAX($I$23:I37),1,IF(E38&gt;=K37,2,IF(I37&gt;=K37,1,2)))</f>
        <v>1</v>
      </c>
    </row>
    <row r="39" spans="2:16" x14ac:dyDescent="0.25">
      <c r="B39" s="6">
        <v>17</v>
      </c>
      <c r="C39" s="7">
        <f t="shared" ca="1" si="3"/>
        <v>774</v>
      </c>
      <c r="D39" s="7">
        <f t="shared" ca="1" si="4"/>
        <v>7</v>
      </c>
      <c r="E39" s="7">
        <f t="shared" ca="1" si="12"/>
        <v>78</v>
      </c>
      <c r="F39" s="7">
        <f t="shared" ca="1" si="5"/>
        <v>601</v>
      </c>
      <c r="G39" s="5">
        <f t="shared" ca="1" si="6"/>
        <v>4</v>
      </c>
      <c r="H39" s="5">
        <f t="shared" ca="1" si="7"/>
        <v>78</v>
      </c>
      <c r="I39" s="5">
        <f t="shared" ca="1" si="8"/>
        <v>82</v>
      </c>
      <c r="J39" s="7">
        <f t="shared" ca="1" si="13"/>
        <v>0</v>
      </c>
      <c r="K39" s="7">
        <f t="shared" ca="1" si="9"/>
        <v>0</v>
      </c>
      <c r="L39" s="7">
        <f t="shared" ca="1" si="10"/>
        <v>4</v>
      </c>
      <c r="M39" s="5">
        <f t="shared" ca="1" si="11"/>
        <v>0</v>
      </c>
      <c r="N39" s="7"/>
      <c r="O39" s="7"/>
      <c r="P39" s="7">
        <f ca="1">IF(E39&gt;=MAX($I$23:I38),1,IF(E39&gt;=K38,2,IF(I38&gt;=K38,1,2)))</f>
        <v>1</v>
      </c>
    </row>
    <row r="40" spans="2:16" x14ac:dyDescent="0.25">
      <c r="B40" s="5">
        <v>18</v>
      </c>
      <c r="C40" s="7">
        <f t="shared" ca="1" si="3"/>
        <v>561</v>
      </c>
      <c r="D40" s="7">
        <f t="shared" ca="1" si="4"/>
        <v>5</v>
      </c>
      <c r="E40" s="7">
        <f t="shared" ca="1" si="12"/>
        <v>83</v>
      </c>
      <c r="F40" s="7">
        <f t="shared" ca="1" si="5"/>
        <v>585</v>
      </c>
      <c r="G40" s="5">
        <f t="shared" ca="1" si="6"/>
        <v>3</v>
      </c>
      <c r="H40" s="5">
        <f t="shared" ca="1" si="7"/>
        <v>83</v>
      </c>
      <c r="I40" s="5">
        <f t="shared" ca="1" si="8"/>
        <v>86</v>
      </c>
      <c r="J40" s="7">
        <f t="shared" ca="1" si="13"/>
        <v>0</v>
      </c>
      <c r="K40" s="7">
        <f t="shared" ca="1" si="9"/>
        <v>0</v>
      </c>
      <c r="L40" s="7">
        <f t="shared" ca="1" si="10"/>
        <v>3</v>
      </c>
      <c r="M40" s="5">
        <f t="shared" ca="1" si="11"/>
        <v>0</v>
      </c>
      <c r="N40" s="7"/>
      <c r="O40" s="7"/>
      <c r="P40" s="7">
        <f ca="1">IF(E40&gt;=MAX($I$23:I39),1,IF(E40&gt;=K39,2,IF(I39&gt;=K39,1,2)))</f>
        <v>1</v>
      </c>
    </row>
    <row r="41" spans="2:16" x14ac:dyDescent="0.25">
      <c r="B41" s="6">
        <v>19</v>
      </c>
      <c r="C41" s="7">
        <f t="shared" ca="1" si="3"/>
        <v>934</v>
      </c>
      <c r="D41" s="7">
        <f t="shared" ca="1" si="4"/>
        <v>8</v>
      </c>
      <c r="E41" s="12">
        <f t="shared" ca="1" si="12"/>
        <v>91</v>
      </c>
      <c r="F41" s="7">
        <f t="shared" ca="1" si="5"/>
        <v>593</v>
      </c>
      <c r="G41" s="5">
        <f t="shared" ca="1" si="6"/>
        <v>3</v>
      </c>
      <c r="H41" s="5">
        <f t="shared" ca="1" si="7"/>
        <v>91</v>
      </c>
      <c r="I41" s="5">
        <f t="shared" ca="1" si="8"/>
        <v>94</v>
      </c>
      <c r="J41" s="7">
        <f t="shared" ca="1" si="13"/>
        <v>0</v>
      </c>
      <c r="K41" s="7">
        <f t="shared" ca="1" si="9"/>
        <v>0</v>
      </c>
      <c r="L41" s="7">
        <f t="shared" ca="1" si="10"/>
        <v>3</v>
      </c>
      <c r="M41" s="5">
        <f t="shared" ca="1" si="11"/>
        <v>0</v>
      </c>
      <c r="N41" s="7"/>
      <c r="O41" s="7"/>
      <c r="P41" s="7">
        <f ca="1">IF(E41&gt;=MAX($I$23:I40),1,IF(E41&gt;=K40,2,IF(I40&gt;=K40,1,2)))</f>
        <v>1</v>
      </c>
    </row>
    <row r="42" spans="2:16" x14ac:dyDescent="0.25">
      <c r="B42" s="5">
        <v>20</v>
      </c>
      <c r="C42" s="7">
        <f t="shared" ca="1" si="3"/>
        <v>109</v>
      </c>
      <c r="D42" s="7">
        <f ca="1">VLOOKUP(C42,$F$4:$H$11,3)</f>
        <v>1</v>
      </c>
      <c r="E42" s="7">
        <f ca="1">E41+D42</f>
        <v>92</v>
      </c>
      <c r="F42" s="7">
        <f t="shared" ca="1" si="5"/>
        <v>83</v>
      </c>
      <c r="G42" s="5">
        <f ca="1">VLOOKUP(F42,$F$15:$H$20,3)</f>
        <v>1</v>
      </c>
      <c r="H42" s="5">
        <f t="shared" ca="1" si="7"/>
        <v>0</v>
      </c>
      <c r="I42" s="5">
        <f t="shared" ca="1" si="8"/>
        <v>0</v>
      </c>
      <c r="J42" s="7">
        <f t="shared" ca="1" si="13"/>
        <v>92</v>
      </c>
      <c r="K42" s="7">
        <f t="shared" ca="1" si="9"/>
        <v>93</v>
      </c>
      <c r="L42" s="7">
        <f t="shared" ca="1" si="10"/>
        <v>1</v>
      </c>
      <c r="M42" s="5">
        <f t="shared" ca="1" si="11"/>
        <v>0</v>
      </c>
      <c r="N42" s="7"/>
      <c r="O42" s="7"/>
      <c r="P42" s="7">
        <f ca="1">IF(E42&gt;=MAX($I$23:I41),1,IF(E42&gt;=K41,2,IF(I41&gt;=K41,1,2)))</f>
        <v>2</v>
      </c>
    </row>
    <row r="43" spans="2:16" x14ac:dyDescent="0.25">
      <c r="B43" s="4"/>
      <c r="C43" s="4"/>
      <c r="D43" s="4"/>
      <c r="E43" s="4"/>
      <c r="F43" s="13" t="s">
        <v>5</v>
      </c>
      <c r="G43" s="4">
        <f ca="1">SUM(G23:G42)</f>
        <v>65</v>
      </c>
      <c r="H43" s="4"/>
      <c r="I43" s="4"/>
      <c r="L43" s="4">
        <f ca="1">SUM(L23:L42)</f>
        <v>68</v>
      </c>
      <c r="M43" s="4">
        <f ca="1">SUM(M23:M42)</f>
        <v>3</v>
      </c>
      <c r="N43" s="4">
        <f>SUM(N23:N42)</f>
        <v>0</v>
      </c>
    </row>
    <row r="45" spans="2:16" ht="15.75" x14ac:dyDescent="0.25">
      <c r="B45" s="21" t="s">
        <v>6</v>
      </c>
      <c r="C45" s="21"/>
      <c r="D45" s="21"/>
      <c r="E45" s="21"/>
      <c r="F45" s="21"/>
      <c r="G45" s="21"/>
    </row>
    <row r="46" spans="2:16" x14ac:dyDescent="0.25">
      <c r="B46" s="10"/>
      <c r="C46" s="22" t="s">
        <v>28</v>
      </c>
      <c r="D46" s="22"/>
      <c r="E46" s="10"/>
      <c r="F46" s="14">
        <f ca="1">M43/B42</f>
        <v>0.15</v>
      </c>
      <c r="G46" s="14" t="s">
        <v>7</v>
      </c>
    </row>
    <row r="47" spans="2:16" x14ac:dyDescent="0.25">
      <c r="B47" s="10"/>
      <c r="C47" s="22" t="s">
        <v>25</v>
      </c>
      <c r="D47" s="22"/>
      <c r="E47" s="10"/>
      <c r="F47" s="14">
        <f ca="1">1-COUNTIF(M23:M42,0)/B42</f>
        <v>5.0000000000000044E-2</v>
      </c>
      <c r="G47" s="14"/>
    </row>
    <row r="48" spans="2:16" x14ac:dyDescent="0.25">
      <c r="B48" s="11"/>
      <c r="C48" s="16" t="s">
        <v>24</v>
      </c>
      <c r="D48" s="16"/>
      <c r="E48" s="11"/>
      <c r="F48" s="15">
        <f>1- COUNTIF(N23:N42,0)/B42</f>
        <v>1</v>
      </c>
      <c r="G48" s="15"/>
    </row>
    <row r="49" spans="2:7" x14ac:dyDescent="0.25">
      <c r="B49" s="11"/>
      <c r="C49" s="16" t="s">
        <v>26</v>
      </c>
      <c r="D49" s="16"/>
      <c r="E49" s="11"/>
      <c r="F49" s="15">
        <f ca="1">G43/B42</f>
        <v>3.25</v>
      </c>
      <c r="G49" s="15" t="s">
        <v>7</v>
      </c>
    </row>
    <row r="50" spans="2:7" x14ac:dyDescent="0.25">
      <c r="B50" s="11"/>
      <c r="C50" s="16" t="s">
        <v>27</v>
      </c>
      <c r="D50" s="16"/>
      <c r="E50" s="11"/>
      <c r="F50" s="15">
        <f ca="1">SUM(D23:D42)/B42</f>
        <v>4.5999999999999996</v>
      </c>
      <c r="G50" s="15" t="s">
        <v>7</v>
      </c>
    </row>
    <row r="51" spans="2:7" x14ac:dyDescent="0.25">
      <c r="B51" s="11"/>
      <c r="C51" s="16" t="s">
        <v>21</v>
      </c>
      <c r="D51" s="16"/>
      <c r="E51" s="11"/>
      <c r="F51" s="15">
        <f ca="1">L43/B42</f>
        <v>3.4</v>
      </c>
      <c r="G51" s="15" t="s">
        <v>7</v>
      </c>
    </row>
    <row r="52" spans="2:7" x14ac:dyDescent="0.25">
      <c r="B52" s="11"/>
      <c r="C52" s="16" t="s">
        <v>22</v>
      </c>
      <c r="D52" s="16"/>
      <c r="E52" s="11"/>
      <c r="F52" s="15">
        <f>SUMPRODUCT(B4:B11,C4:C11)</f>
        <v>4.5</v>
      </c>
      <c r="G52" s="15" t="s">
        <v>7</v>
      </c>
    </row>
    <row r="53" spans="2:7" x14ac:dyDescent="0.25">
      <c r="B53" s="11"/>
      <c r="C53" s="16" t="s">
        <v>23</v>
      </c>
      <c r="D53" s="16"/>
      <c r="E53" s="11"/>
      <c r="F53" s="15">
        <f>SUMPRODUCT(B15:B20,C15:C20)</f>
        <v>3.2</v>
      </c>
      <c r="G53" s="15" t="s">
        <v>7</v>
      </c>
    </row>
  </sheetData>
  <mergeCells count="14">
    <mergeCell ref="C52:D52"/>
    <mergeCell ref="C53:D53"/>
    <mergeCell ref="B1:H1"/>
    <mergeCell ref="B2:D2"/>
    <mergeCell ref="F2:H2"/>
    <mergeCell ref="B13:D13"/>
    <mergeCell ref="F13:H13"/>
    <mergeCell ref="C50:D50"/>
    <mergeCell ref="C51:D51"/>
    <mergeCell ref="B45:G45"/>
    <mergeCell ref="C46:D46"/>
    <mergeCell ref="C47:D47"/>
    <mergeCell ref="C48:D48"/>
    <mergeCell ref="C49:D4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Ulaş</dc:creator>
  <cp:lastModifiedBy>OMRUM AKCOCUK</cp:lastModifiedBy>
  <dcterms:created xsi:type="dcterms:W3CDTF">2022-03-06T18:32:15Z</dcterms:created>
  <dcterms:modified xsi:type="dcterms:W3CDTF">2026-06-03T14:10:03Z</dcterms:modified>
</cp:coreProperties>
</file>